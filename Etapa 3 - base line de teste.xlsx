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<sst xmlns="http://schemas.openxmlformats.org/spreadsheetml/2006/main" count="179" uniqueCount="135">
  <si>
    <t>Fonte</t>
  </si>
  <si>
    <t>IDEB</t>
  </si>
  <si>
    <t>Unidade a ser analisada</t>
  </si>
  <si>
    <t>município por ano</t>
  </si>
  <si>
    <t>problema</t>
  </si>
  <si>
    <t>classificação binária</t>
  </si>
  <si>
    <t>Binária pois so existem duas possibilidades, se esta em RISCO ou ESTÁVEL</t>
  </si>
  <si>
    <t>variável alvo</t>
  </si>
  <si>
    <t>alerta_risco</t>
  </si>
  <si>
    <t>regra do alvo</t>
  </si>
  <si>
    <t>alto risco se nota_saeb_matematica &lt; 250 ou indicador_rendimento &lt; 0.75 caso contrário, Estável / Regular</t>
  </si>
  <si>
    <t>classes possiveis</t>
  </si>
  <si>
    <t>20,2% Alto Risco e 79,8% Estável</t>
  </si>
  <si>
    <t>classes de interesses (em análise)</t>
  </si>
  <si>
    <t>Alto risco</t>
  </si>
  <si>
    <t>O que vamos fazer com os dados vazios?</t>
  </si>
  <si>
    <t>situação</t>
  </si>
  <si>
    <t>linhas</t>
  </si>
  <si>
    <t>nota e rendimento preenchidos</t>
  </si>
  <si>
    <t>nota vazia, rendimento preenchido</t>
  </si>
  <si>
    <t>nota e rendimentos vazio</t>
  </si>
  <si>
    <t>total de linhas removidas</t>
  </si>
  <si>
    <t>Novos resultado de alerta_risco com as linhas removidas</t>
  </si>
  <si>
    <t>Estável / Regular</t>
  </si>
  <si>
    <t>Alto Risco</t>
  </si>
  <si>
    <t>Divisão para treinos e testes</t>
  </si>
  <si>
    <t>Total (base filtrada) : 23921 Treino : 19158 linhas (80.1%) Teste : 4763 linhas (19.9%)</t>
  </si>
  <si>
    <t>2) PROPORÇÃO DE ALTO RISCO (esperado: ~20,9% nos dois) Base filtrada : 20.9% Treino : 20.9% Teste : 20.7%</t>
  </si>
  <si>
    <t>3) MUNICÍPIOS Municípios no treino : 4449 Municípios no teste : 1109 Municípios nos dois : 0 (deve ser 0)</t>
  </si>
  <si>
    <t>Os dados foram divididos em 80% para treino e 20% para teste, de forma estratificada pela variável-alvo e agrupada por município, de modo que nenhum município aparecesse simultaneamente nos dois conjuntos. Esse cuidado evita vazamento de informação entre treino e teste, já que um mesmo município é observado em vários anos. O conjunto de teste foi reservado para uma única avaliação final.</t>
  </si>
  <si>
    <t>Métricas</t>
  </si>
  <si>
    <t>Modelo diz Alto Risco</t>
  </si>
  <si>
    <t>Modelo diz Estável</t>
  </si>
  <si>
    <t>Realmente Alto Risco</t>
  </si>
  <si>
    <t>Acerto (verdadeiro positivo)</t>
  </si>
  <si>
    <t>Falso negativo</t>
  </si>
  <si>
    <t>Realmente Estável</t>
  </si>
  <si>
    <t>Falso positivo</t>
  </si>
  <si>
    <t>Acerto (verdadeiro negativo)</t>
  </si>
  <si>
    <t>Métrica</t>
  </si>
  <si>
    <t>O que mede</t>
  </si>
  <si>
    <t>Serve como principal?</t>
  </si>
  <si>
    <t>Acurácia</t>
  </si>
  <si>
    <t>% de acertos no total</t>
  </si>
  <si>
    <t>Não. Um modelo que sempre diz "Estável" teria ~79% e não acharia nenhum município em risco</t>
  </si>
  <si>
    <t>Recall (Alto Risco)</t>
  </si>
  <si>
    <t>dos municípios realmente em risco, quantos o modelo achou</t>
  </si>
  <si>
    <t>Sim. Mede diretamente o erro mais grave</t>
  </si>
  <si>
    <t>Precisão (Alto Risco)</t>
  </si>
  <si>
    <t>dos que o modelo apontou como risco, quantos realmente eram</t>
  </si>
  <si>
    <t>Como apoio. Controla os falsos positivos</t>
  </si>
  <si>
    <t>F2</t>
  </si>
  <si>
    <t>média entre precisão e recall, pesando o recall mais</t>
  </si>
  <si>
    <t>Como resumo. Evita que o recall "suba de graça"</t>
  </si>
  <si>
    <t>PR-AUC</t>
  </si>
  <si>
    <t>qualidade geral do modelo em todos os limiares, focada na classe rara</t>
  </si>
  <si>
    <t>Para comparar modelos sem depender de um corte</t>
  </si>
  <si>
    <t>recall = achados ÷ total em risco</t>
  </si>
  <si>
    <t>precisão</t>
  </si>
  <si>
    <t>os que eu marquei, quantos realmente eram risco?</t>
  </si>
  <si>
    <t>Precisão = acertos ÷ total marcado</t>
  </si>
  <si>
    <t>F2: uma nota única que junta as duas</t>
  </si>
  <si>
    <t>F2 combina precisão e recall em um só número, dando mais peso ao recall, que é o que mais importa.</t>
  </si>
  <si>
    <t>PR-AUC: a qualidade do modelo em todos os cortes</t>
  </si>
  <si>
    <t>O modelo não responde só "risco" ou "estável". Ele dá uma pontuação (por exemplo, 0,83 de chance de risco), e o corte: acima de 0,5 marca como risco, ou acima de 0,3, e assim por diante. Cada corte dá um par diferente de recall e precisão.</t>
  </si>
  <si>
    <t>Perto de 1: o modelo separa bem os dois grupos, qualquer que seja o corte</t>
  </si>
  <si>
    <t>Perto de 0,21 (a proporção de Alto Risco na base): o modelo é tão ruim quanto um chute</t>
  </si>
  <si>
    <t>Resumo</t>
  </si>
  <si>
    <t>Pergunta que responde</t>
  </si>
  <si>
    <t>Papel no trabalho</t>
  </si>
  <si>
    <t>Recall</t>
  </si>
  <si>
    <t>Quantos dos municípios em risco eu achei?</t>
  </si>
  <si>
    <t>Principal</t>
  </si>
  <si>
    <t>Precisão</t>
  </si>
  <si>
    <t>Dos que marquei, quantos eram risco de verdade?</t>
  </si>
  <si>
    <t>Apoio</t>
  </si>
  <si>
    <t>Nota única, com mais peso no recall</t>
  </si>
  <si>
    <t>O quão bem o modelo separa os grupos, em todos os cortes?</t>
  </si>
  <si>
    <t>Etapa 4: o baseline</t>
  </si>
  <si>
    <t>O plano</t>
  </si>
  <si>
    <t>Vamos comparar dois modelos simples nos dois cenários de features (A e B):</t>
  </si>
  <si>
    <t>Modelo</t>
  </si>
  <si>
    <t>O que faz</t>
  </si>
  <si>
    <t>Para que serve</t>
  </si>
  <si>
    <t>Dummy</t>
  </si>
  <si>
    <t>Sempre responde "Estável"</t>
  </si>
  <si>
    <t>Piso absoluto: qualquer modelo útil tem que superá-lo</t>
  </si>
  <si>
    <t>Regressão logística</t>
  </si>
  <si>
    <t>Modelo linear simples e interpretável</t>
  </si>
  <si>
    <t>O baseline "de verdade"</t>
  </si>
  <si>
    <t>Cenário</t>
  </si>
  <si>
    <t>A (só contexto)</t>
  </si>
  <si>
    <t>Dummy (sempre Estável)</t>
  </si>
  <si>
    <t>B (+ nota de português)</t>
  </si>
  <si>
    <t>O que cada resultado significa</t>
  </si>
  <si>
    <t>Dummy: recall 0 porque ele nunca aponta ninguém em risco. A PR-AUC de 0,209 é exatamente a proporção de Alto Risco na base, então esse é o nível de chute. É o piso que o modelo precisa superar.</t>
  </si>
  <si>
    <t>Regressão logística, cenário A (só contexto):</t>
  </si>
  <si>
    <t>Recall 0,783: acha cerca de 78% dos municípios em Alto Risco, e cerca de 22% passam despercebidos.</t>
  </si>
  <si>
    <t>Precisão 0,496: de cada 100 municípios que o modelo marca, cerca de 50 realmente são de risco, e os outros 50 são alarmes falsos.</t>
  </si>
  <si>
    <t>PR-AUC 0,642: mais de 3 vezes o nível de chute (0,209). Só com ano, sigla_uf e populacao o modelo já aprende algo real.</t>
  </si>
  <si>
    <t>A</t>
  </si>
  <si>
    <t>B</t>
  </si>
  <si>
    <t>Ganho</t>
  </si>
  <si>
    <t>Como isso se liga ao custo do erro</t>
  </si>
  <si>
    <t>O recall alto (78% a 86%) é consequência do class_weight='balanced', que faz o modelo preferir errar para o lado do alarme. O preço aparece na precisão: cerca de 1 alarme falso para cada acerto no cenário A. Como a escolha foi priorizar não deixar município em risco de fora, esse trade-off é coerente com o domínio. Vale dizer isso no relatório.</t>
  </si>
  <si>
    <t>Foram avaliados dois cenários de variáveis: (A) apenas contexto do município e (B) contexto acrescido da nota de Língua Portuguesa. Como essa nota é fortemente correlacionada com a de Matemática, que compõe a definição do alvo, o cenário B representa um limite superior de desempenho, enquanto o cenário A representa a capacidade de prever o risco sem informação direta de desempenho.</t>
  </si>
  <si>
    <t>O que é o Dummy?
O Dummy é um "modelo de mentira": ele não aprende nada com os dados e responde sempre a mesma coisa. No nosso caso, ele usa a regra mais simples possível: sempre responder "Estável", que é a classe mais comum (79%).
No código, é esta linha:
python
DummyClassifier(strategy='most_frequent')
most_frequent quer dizer "responda sempre a classe que mais aparece".</t>
  </si>
  <si>
    <t>Por quê</t>
  </si>
  <si>
    <t>Nunca marca ninguém como Alto Risco, então acha 0% dos casos</t>
  </si>
  <si>
    <t>Não marcou nenhum município, então não há acerto a contar</t>
  </si>
  <si>
    <t>Consequência das duas acima</t>
  </si>
  <si>
    <t>É a proporção de Alto Risco na base, o nível de chute</t>
  </si>
  <si>
    <t>testes finais</t>
  </si>
  <si>
    <t>Leitura dos resultados do teste</t>
  </si>
  <si>
    <t>O teste tem 4.763 registros (município-ano), dos quais 987 são Alto Risco (20,7%, proporção parecida com a do treino).</t>
  </si>
  <si>
    <t>Teste contra validação cruzada</t>
  </si>
  <si>
    <t>Validação cruzada</t>
  </si>
  <si>
    <t>Teste</t>
  </si>
  <si>
    <t>Em números concretos (matrizes de confusão)</t>
  </si>
  <si>
    <t>Cenário A</t>
  </si>
  <si>
    <t>Cenário B</t>
  </si>
  <si>
    <t>Alto Risco achados</t>
  </si>
  <si>
    <t>749 de 987</t>
  </si>
  <si>
    <t>857 de 987</t>
  </si>
  <si>
    <t>Alto Risco que passaram batido (falsos negativos)</t>
  </si>
  <si>
    <t>Alarmes falsos (falsos positivos)</t>
  </si>
  <si>
    <t>No cenário A, o modelo deixa passar 238 casos de risco e, para cada acerto, gera cerca de 1 alarme falso.</t>
  </si>
  <si>
    <t>No cenário B, os falsos negativos caem para 130 (108 a menos) e os alarmes falsos também diminuem. O ganho é grande, mas lembre que parte dele vem da nota de português ser um "atalho".</t>
  </si>
  <si>
    <t>1. Dados e variável-alvo. Utilizou-se a base do IDEB do Ensino Médio (INEP), com registros de município por ano (2017, 2019, 2021, 2023 e 2025). A variável-alvo alerta_risco classifica um registro como Alto Risco quando a nota de Matemática do SAEB é inferior a 250 ou o indicador de rendimento é inferior a 0,75. Foram removidos 3.848 registros (13,9%) em que uma dessas duas variáveis estava ausente, pois a regra não pôde ser avaliada por completo. A base de trabalho ficou com 23.921 registros, com 20,9% de Alto Risco e 79,1% de Estável/Regular, caracterizando um problema de classificação binária com desbalanceamento moderado.</t>
  </si>
  <si>
    <t>2. Protocolo experimental. As variáveis que definem o alvo (nota de Matemática e indicador de rendimento) e as derivadas delas (taxa de aprovação, IDEB e nota padronizada) foram excluídas das entradas para evitar vazamento. Variáveis constantes, identificadores e a projeção do IDEB também foram excluídas. Definiram-se dois cenários: (A) apenas contexto do município (ano, UF e população) e (B) contexto acrescido da nota de Língua Portuguesa, que, por ser fortemente correlacionada com a de Matemática, representa um limite superior de desempenho. Os dados foram divididos em 80% para treino e 20% para teste, de forma estratificada pelo alvo e agrupada por município, de modo que nenhum município aparecesse nos dois conjuntos, já que o mesmo município é observado em vários anos. A comparação entre modelos foi feita por validação cruzada de 5 folds no treino, com o mesmo agrupamento, e o teste foi usado uma única vez. Todas as etapas de pré-processamento (imputação, padronização e codificação) foram ajustadas apenas no treino, e a semente aleatória foi fixada em 42.</t>
  </si>
  <si>
    <t>3. Métrica e justificativa. Adotou-se como métrica principal o recall da classe Alto Risco. No domínio analisado, o erro mais custoso é o falso negativo: deixar de identificar um município em situação crítica significa que ele não receberá atenção ou apoio, enquanto o falso positivo implica apenas uma verificação desnecessária. Como as classes são desbalanceadas, a acurácia foi descartada, pois um classificador que previsse sempre "Estável" alcançaria cerca de 79% sem identificar nenhum caso de risco. Para evitar que o recall seja inflado por classificações excessivamente alarmistas, reportam-se também a precisão, o F2 (que pondera o recall com maior peso) e a PR-AUC.</t>
  </si>
  <si>
    <t>4. Modelo de referência (baseline). Utilizou-se regressão logística com ponderação de classes balanceada e corte de 0,5, comparada a um classificador trivial que prevê sempre a classe majoritária.</t>
  </si>
  <si>
    <t>5. Resultados. No conjunto de teste, o classificador trivial obteve recall 0 e PR-AUC 0,207, equivalente ao acaso. A regressão logística obteve, no cenário A, recall 0,759, precisão 0,487, F2 0,683 e PR-AUC 0,625; no cenário B, recall 0,868, precisão 0,606, F2 0,799 e PR-AUC 0,831. Os valores foram consistentes com os da validação cruzada. No cenário A, o modelo identificou 749 dos 987 registros de Alto Risco (238 falsos negativos e 788 falsos positivos); no cenário B, identificou 857 (130 falsos negativos e 557 falsos positivos).</t>
  </si>
  <si>
    <t>6. Limitações. O risco aqui é o do município, definido por limiares de desempenho e rendimento, e não a evasão de alunos individuais. O corte de classificação (0,5) não foi otimizado, e o recall alto é obtido ao custo de uma precisão em torno de 50% a 60%, o que é coerente com a priorização de não deixar casos críticos sem identificação. O cenário B deve ser lido como limite superior, dada a relação da nota de português com o alvo.</t>
  </si>
  <si>
    <t>Protocolo experimental definido: seção 2 (divisão, vazamento, cenários, semente)
Baseline executado: seções 4 e 5 (regressão logística e Dummy, validação cruzada e teste)
Métrica escolhida: seção 3 (recall de Alto Risco, com apoio de precisão, F2 e PR-AUC)
Razão em função do custo do erro: seção 3 (falso negativo é o erro mais custoso)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</si>
</sst>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E3E3E3"/>
      <name val="Arial"/>
    </font>
    <font>
      <sz val="11.0"/>
      <color rgb="FFE3E3E3"/>
      <name val="Monospace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82A2C"/>
        <bgColor rgb="FF282A2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3" numFmtId="0" xfId="0" applyAlignment="1" applyFill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46.63"/>
    <col customWidth="1" min="3" max="3" width="40.88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2"/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2"/>
    </row>
    <row r="5">
      <c r="A5" s="1" t="s">
        <v>9</v>
      </c>
      <c r="B5" s="1" t="s">
        <v>10</v>
      </c>
      <c r="C5" s="2"/>
    </row>
    <row r="6">
      <c r="A6" s="1" t="s">
        <v>11</v>
      </c>
      <c r="B6" s="1" t="s">
        <v>12</v>
      </c>
      <c r="C6" s="2"/>
    </row>
    <row r="7">
      <c r="A7" s="1" t="s">
        <v>13</v>
      </c>
      <c r="B7" s="1" t="s">
        <v>14</v>
      </c>
      <c r="C7" s="2"/>
    </row>
    <row r="10">
      <c r="A10" s="3" t="s">
        <v>15</v>
      </c>
    </row>
    <row r="12">
      <c r="A12" s="3" t="s">
        <v>16</v>
      </c>
      <c r="B12" s="3" t="s">
        <v>17</v>
      </c>
    </row>
    <row r="13">
      <c r="A13" s="3" t="s">
        <v>18</v>
      </c>
      <c r="B13" s="3">
        <v>23921.0</v>
      </c>
    </row>
    <row r="14">
      <c r="A14" s="3" t="s">
        <v>19</v>
      </c>
      <c r="B14" s="3">
        <v>3429.0</v>
      </c>
    </row>
    <row r="15">
      <c r="A15" s="3" t="s">
        <v>20</v>
      </c>
      <c r="B15" s="3">
        <v>419.0</v>
      </c>
    </row>
    <row r="16">
      <c r="A16" s="4" t="s">
        <v>21</v>
      </c>
      <c r="B16" s="5">
        <f>SUM(B14:B15)</f>
        <v>3848</v>
      </c>
    </row>
    <row r="18">
      <c r="A18" s="3" t="s">
        <v>22</v>
      </c>
    </row>
    <row r="19">
      <c r="A19" s="3" t="s">
        <v>23</v>
      </c>
      <c r="B19" s="3">
        <v>79.9</v>
      </c>
    </row>
    <row r="20">
      <c r="A20" s="3" t="s">
        <v>24</v>
      </c>
      <c r="B20" s="3">
        <v>20.1</v>
      </c>
    </row>
    <row r="22">
      <c r="A22" s="3" t="s">
        <v>25</v>
      </c>
    </row>
    <row r="23">
      <c r="A23" s="6" t="s">
        <v>26</v>
      </c>
    </row>
    <row r="24">
      <c r="A24" s="7" t="s">
        <v>27</v>
      </c>
    </row>
    <row r="25">
      <c r="A25" s="7" t="s">
        <v>28</v>
      </c>
    </row>
    <row r="27">
      <c r="A27" s="8" t="s">
        <v>29</v>
      </c>
    </row>
    <row r="30">
      <c r="A30" s="3" t="s">
        <v>30</v>
      </c>
    </row>
    <row r="31">
      <c r="A31" s="9"/>
      <c r="B31" s="10" t="s">
        <v>31</v>
      </c>
      <c r="C31" s="10" t="s">
        <v>32</v>
      </c>
    </row>
    <row r="32">
      <c r="A32" s="3" t="s">
        <v>33</v>
      </c>
      <c r="B32" s="3" t="s">
        <v>34</v>
      </c>
      <c r="C32" s="3" t="s">
        <v>35</v>
      </c>
    </row>
    <row r="33">
      <c r="A33" s="3" t="s">
        <v>36</v>
      </c>
      <c r="B33" s="3" t="s">
        <v>37</v>
      </c>
      <c r="C33" s="3" t="s">
        <v>38</v>
      </c>
    </row>
    <row r="35">
      <c r="A35" s="10" t="s">
        <v>39</v>
      </c>
      <c r="B35" s="10" t="s">
        <v>40</v>
      </c>
      <c r="C35" s="10" t="s">
        <v>41</v>
      </c>
    </row>
    <row r="36">
      <c r="A36" s="11" t="s">
        <v>42</v>
      </c>
      <c r="B36" s="8" t="s">
        <v>43</v>
      </c>
      <c r="C36" s="8" t="s">
        <v>44</v>
      </c>
    </row>
    <row r="37">
      <c r="A37" s="11" t="s">
        <v>45</v>
      </c>
      <c r="B37" s="8" t="s">
        <v>46</v>
      </c>
      <c r="C37" s="8" t="s">
        <v>47</v>
      </c>
    </row>
    <row r="38">
      <c r="A38" s="11" t="s">
        <v>48</v>
      </c>
      <c r="B38" s="8" t="s">
        <v>49</v>
      </c>
      <c r="C38" s="8" t="s">
        <v>50</v>
      </c>
    </row>
    <row r="39">
      <c r="A39" s="11" t="s">
        <v>51</v>
      </c>
      <c r="B39" s="8" t="s">
        <v>52</v>
      </c>
      <c r="C39" s="8" t="s">
        <v>53</v>
      </c>
    </row>
    <row r="40">
      <c r="A40" s="11" t="s">
        <v>54</v>
      </c>
      <c r="B40" s="8" t="s">
        <v>55</v>
      </c>
      <c r="C40" s="8" t="s">
        <v>56</v>
      </c>
    </row>
    <row r="42">
      <c r="A42" s="3" t="s">
        <v>57</v>
      </c>
    </row>
    <row r="44">
      <c r="A44" s="3" t="s">
        <v>58</v>
      </c>
      <c r="B44" s="3" t="s">
        <v>59</v>
      </c>
    </row>
    <row r="45">
      <c r="A45" s="3" t="s">
        <v>60</v>
      </c>
    </row>
    <row r="47">
      <c r="A47" s="3" t="s">
        <v>61</v>
      </c>
      <c r="B47" s="3" t="s">
        <v>62</v>
      </c>
    </row>
    <row r="49">
      <c r="A49" s="4" t="s">
        <v>63</v>
      </c>
    </row>
    <row r="50">
      <c r="A50" s="12" t="s">
        <v>64</v>
      </c>
    </row>
    <row r="51">
      <c r="A51" s="3" t="s">
        <v>65</v>
      </c>
    </row>
    <row r="52">
      <c r="A52" s="3" t="s">
        <v>66</v>
      </c>
    </row>
    <row r="54">
      <c r="A54" s="13" t="s">
        <v>67</v>
      </c>
      <c r="B54" s="14"/>
      <c r="C54" s="14"/>
    </row>
    <row r="55">
      <c r="A55" s="15" t="s">
        <v>39</v>
      </c>
      <c r="B55" s="15" t="s">
        <v>68</v>
      </c>
      <c r="C55" s="15" t="s">
        <v>69</v>
      </c>
    </row>
    <row r="56">
      <c r="A56" s="13" t="s">
        <v>70</v>
      </c>
      <c r="B56" s="13" t="s">
        <v>71</v>
      </c>
      <c r="C56" s="13" t="s">
        <v>72</v>
      </c>
    </row>
    <row r="57">
      <c r="A57" s="13" t="s">
        <v>73</v>
      </c>
      <c r="B57" s="13" t="s">
        <v>74</v>
      </c>
      <c r="C57" s="13" t="s">
        <v>75</v>
      </c>
    </row>
    <row r="58">
      <c r="A58" s="13" t="s">
        <v>51</v>
      </c>
      <c r="B58" s="13" t="s">
        <v>76</v>
      </c>
      <c r="C58" s="13" t="s">
        <v>75</v>
      </c>
    </row>
    <row r="59">
      <c r="A59" s="13" t="s">
        <v>54</v>
      </c>
      <c r="B59" s="13" t="s">
        <v>77</v>
      </c>
      <c r="C59" s="13" t="s">
        <v>75</v>
      </c>
    </row>
    <row r="61">
      <c r="A61" s="3" t="s">
        <v>78</v>
      </c>
    </row>
    <row r="62">
      <c r="A62" s="3" t="s">
        <v>79</v>
      </c>
    </row>
    <row r="64">
      <c r="A64" s="3" t="s">
        <v>80</v>
      </c>
    </row>
    <row r="66">
      <c r="A66" s="10" t="s">
        <v>81</v>
      </c>
      <c r="B66" s="10" t="s">
        <v>82</v>
      </c>
      <c r="C66" s="10" t="s">
        <v>83</v>
      </c>
    </row>
    <row r="67">
      <c r="A67" s="3" t="s">
        <v>84</v>
      </c>
      <c r="B67" s="3" t="s">
        <v>85</v>
      </c>
      <c r="C67" s="3" t="s">
        <v>86</v>
      </c>
    </row>
    <row r="68">
      <c r="A68" s="3" t="s">
        <v>87</v>
      </c>
      <c r="B68" s="3" t="s">
        <v>88</v>
      </c>
      <c r="C68" s="3" t="s">
        <v>89</v>
      </c>
    </row>
    <row r="70">
      <c r="A70" s="10" t="s">
        <v>90</v>
      </c>
      <c r="B70" s="10" t="s">
        <v>81</v>
      </c>
      <c r="C70" s="10" t="s">
        <v>70</v>
      </c>
      <c r="D70" s="10" t="s">
        <v>73</v>
      </c>
      <c r="E70" s="10" t="s">
        <v>51</v>
      </c>
      <c r="F70" s="10" t="s">
        <v>54</v>
      </c>
    </row>
    <row r="71">
      <c r="A71" s="3" t="s">
        <v>91</v>
      </c>
      <c r="B71" s="3" t="s">
        <v>92</v>
      </c>
      <c r="C71" s="3">
        <v>0.0</v>
      </c>
      <c r="D71" s="3">
        <v>0.0</v>
      </c>
      <c r="E71" s="3">
        <v>0.0</v>
      </c>
      <c r="F71" s="3">
        <v>0.209</v>
      </c>
    </row>
    <row r="72">
      <c r="A72" s="3" t="s">
        <v>91</v>
      </c>
      <c r="B72" s="3" t="s">
        <v>87</v>
      </c>
      <c r="C72" s="3">
        <v>0.783</v>
      </c>
      <c r="D72" s="3">
        <v>0.496</v>
      </c>
      <c r="E72" s="3">
        <v>0.701</v>
      </c>
      <c r="F72" s="3">
        <v>0.642</v>
      </c>
    </row>
    <row r="73">
      <c r="A73" s="3" t="s">
        <v>93</v>
      </c>
      <c r="B73" s="3" t="s">
        <v>92</v>
      </c>
      <c r="C73" s="3">
        <v>0.0</v>
      </c>
      <c r="D73" s="3">
        <v>0.0</v>
      </c>
      <c r="E73" s="3">
        <v>0.0</v>
      </c>
      <c r="F73" s="3">
        <v>0.209</v>
      </c>
    </row>
    <row r="74">
      <c r="A74" s="3" t="s">
        <v>93</v>
      </c>
      <c r="B74" s="3" t="s">
        <v>87</v>
      </c>
      <c r="C74" s="3">
        <v>0.857</v>
      </c>
      <c r="D74" s="3">
        <v>0.591</v>
      </c>
      <c r="E74" s="3">
        <v>0.786</v>
      </c>
      <c r="F74" s="3">
        <v>0.822</v>
      </c>
    </row>
    <row r="76">
      <c r="A76" s="16" t="s">
        <v>94</v>
      </c>
    </row>
    <row r="77">
      <c r="A77" s="14"/>
    </row>
    <row r="78">
      <c r="A78" s="13" t="s">
        <v>95</v>
      </c>
    </row>
    <row r="79">
      <c r="A79" s="14"/>
    </row>
    <row r="80">
      <c r="A80" s="13" t="s">
        <v>96</v>
      </c>
    </row>
    <row r="81">
      <c r="A81" s="14"/>
    </row>
    <row r="82">
      <c r="A82" s="13" t="s">
        <v>97</v>
      </c>
    </row>
    <row r="83">
      <c r="A83" s="13" t="s">
        <v>98</v>
      </c>
    </row>
    <row r="84">
      <c r="A84" s="13" t="s">
        <v>99</v>
      </c>
    </row>
    <row r="86">
      <c r="A86" s="10" t="s">
        <v>39</v>
      </c>
      <c r="B86" s="10" t="s">
        <v>100</v>
      </c>
      <c r="C86" s="10" t="s">
        <v>101</v>
      </c>
      <c r="D86" s="10" t="s">
        <v>102</v>
      </c>
    </row>
    <row r="87">
      <c r="A87" s="3" t="s">
        <v>70</v>
      </c>
      <c r="B87" s="3">
        <v>0.783</v>
      </c>
      <c r="C87" s="3">
        <v>0.857</v>
      </c>
      <c r="D87" s="5">
        <f>+0.074</f>
        <v>0.074</v>
      </c>
    </row>
    <row r="88">
      <c r="A88" s="3" t="s">
        <v>73</v>
      </c>
      <c r="B88" s="3">
        <v>0.496</v>
      </c>
      <c r="C88" s="3">
        <v>0.591</v>
      </c>
      <c r="D88" s="5">
        <f>+0.095</f>
        <v>0.095</v>
      </c>
    </row>
    <row r="89">
      <c r="A89" s="3" t="s">
        <v>51</v>
      </c>
      <c r="B89" s="3">
        <v>0.701</v>
      </c>
      <c r="C89" s="3">
        <v>0.786</v>
      </c>
      <c r="D89" s="5">
        <f>+0.085</f>
        <v>0.085</v>
      </c>
    </row>
    <row r="90">
      <c r="A90" s="3" t="s">
        <v>54</v>
      </c>
      <c r="B90" s="3">
        <v>0.642</v>
      </c>
      <c r="C90" s="3">
        <v>0.822</v>
      </c>
      <c r="D90" s="5">
        <f>+0.18</f>
        <v>0.18</v>
      </c>
    </row>
    <row r="92">
      <c r="A92" s="16" t="s">
        <v>103</v>
      </c>
    </row>
    <row r="93">
      <c r="A93" s="17"/>
    </row>
    <row r="94">
      <c r="A94" s="18" t="s">
        <v>104</v>
      </c>
      <c r="C94" s="12" t="s">
        <v>105</v>
      </c>
    </row>
    <row r="96">
      <c r="A96" s="12" t="s">
        <v>106</v>
      </c>
    </row>
    <row r="98">
      <c r="A98" s="10" t="s">
        <v>39</v>
      </c>
      <c r="B98" s="10" t="s">
        <v>84</v>
      </c>
      <c r="C98" s="10" t="s">
        <v>107</v>
      </c>
    </row>
    <row r="99">
      <c r="A99" s="3" t="s">
        <v>70</v>
      </c>
      <c r="B99" s="3">
        <v>0.0</v>
      </c>
      <c r="C99" s="3" t="s">
        <v>108</v>
      </c>
    </row>
    <row r="100">
      <c r="A100" s="3" t="s">
        <v>73</v>
      </c>
      <c r="B100" s="3">
        <v>0.0</v>
      </c>
      <c r="C100" s="3" t="s">
        <v>109</v>
      </c>
    </row>
    <row r="101">
      <c r="A101" s="3" t="s">
        <v>51</v>
      </c>
      <c r="B101" s="3">
        <v>0.0</v>
      </c>
      <c r="C101" s="3" t="s">
        <v>110</v>
      </c>
    </row>
    <row r="102">
      <c r="A102" s="3" t="s">
        <v>54</v>
      </c>
      <c r="B102" s="3">
        <v>0.209</v>
      </c>
      <c r="C102" s="3" t="s">
        <v>111</v>
      </c>
    </row>
    <row r="106">
      <c r="A106" s="3" t="s">
        <v>112</v>
      </c>
    </row>
    <row r="108">
      <c r="A108" s="13" t="s">
        <v>113</v>
      </c>
      <c r="B108" s="14"/>
      <c r="C108" s="14"/>
      <c r="D108" s="14"/>
    </row>
    <row r="109">
      <c r="A109" s="14"/>
      <c r="B109" s="14"/>
      <c r="C109" s="14"/>
      <c r="D109" s="14"/>
    </row>
    <row r="110">
      <c r="A110" s="13" t="s">
        <v>114</v>
      </c>
      <c r="B110" s="14"/>
      <c r="C110" s="14"/>
      <c r="D110" s="14"/>
    </row>
    <row r="111">
      <c r="A111" s="14"/>
      <c r="B111" s="14"/>
      <c r="C111" s="14"/>
      <c r="D111" s="14"/>
    </row>
    <row r="112">
      <c r="A112" s="13" t="s">
        <v>115</v>
      </c>
      <c r="B112" s="14"/>
      <c r="C112" s="14"/>
      <c r="D112" s="14"/>
    </row>
    <row r="113">
      <c r="A113" s="19" t="s">
        <v>90</v>
      </c>
      <c r="B113" s="19" t="s">
        <v>39</v>
      </c>
      <c r="C113" s="19" t="s">
        <v>116</v>
      </c>
      <c r="D113" s="19" t="s">
        <v>117</v>
      </c>
    </row>
    <row r="114">
      <c r="A114" s="20" t="s">
        <v>100</v>
      </c>
      <c r="B114" s="20" t="s">
        <v>70</v>
      </c>
      <c r="C114" s="20">
        <v>0.783</v>
      </c>
      <c r="D114" s="20">
        <v>0.759</v>
      </c>
    </row>
    <row r="115">
      <c r="A115" s="20" t="s">
        <v>100</v>
      </c>
      <c r="B115" s="20" t="s">
        <v>73</v>
      </c>
      <c r="C115" s="20">
        <v>0.496</v>
      </c>
      <c r="D115" s="20">
        <v>0.487</v>
      </c>
    </row>
    <row r="116">
      <c r="A116" s="20" t="s">
        <v>100</v>
      </c>
      <c r="B116" s="20" t="s">
        <v>51</v>
      </c>
      <c r="C116" s="20">
        <v>0.701</v>
      </c>
      <c r="D116" s="20">
        <v>0.683</v>
      </c>
    </row>
    <row r="117">
      <c r="A117" s="20" t="s">
        <v>100</v>
      </c>
      <c r="B117" s="20" t="s">
        <v>54</v>
      </c>
      <c r="C117" s="20">
        <v>0.642</v>
      </c>
      <c r="D117" s="20">
        <v>0.625</v>
      </c>
    </row>
    <row r="118">
      <c r="A118" s="20" t="s">
        <v>101</v>
      </c>
      <c r="B118" s="20" t="s">
        <v>70</v>
      </c>
      <c r="C118" s="20">
        <v>0.857</v>
      </c>
      <c r="D118" s="20">
        <v>0.868</v>
      </c>
    </row>
    <row r="119">
      <c r="A119" s="20" t="s">
        <v>101</v>
      </c>
      <c r="B119" s="20" t="s">
        <v>73</v>
      </c>
      <c r="C119" s="20">
        <v>0.591</v>
      </c>
      <c r="D119" s="20">
        <v>0.606</v>
      </c>
    </row>
    <row r="120">
      <c r="A120" s="20" t="s">
        <v>101</v>
      </c>
      <c r="B120" s="20" t="s">
        <v>51</v>
      </c>
      <c r="C120" s="20">
        <v>0.786</v>
      </c>
      <c r="D120" s="20">
        <v>0.799</v>
      </c>
    </row>
    <row r="121">
      <c r="A121" s="20" t="s">
        <v>101</v>
      </c>
      <c r="B121" s="20" t="s">
        <v>54</v>
      </c>
      <c r="C121" s="20">
        <v>0.822</v>
      </c>
      <c r="D121" s="20">
        <v>0.831</v>
      </c>
    </row>
    <row r="123">
      <c r="A123" s="4" t="s">
        <v>118</v>
      </c>
    </row>
    <row r="124">
      <c r="A124" s="21"/>
      <c r="B124" s="10" t="s">
        <v>119</v>
      </c>
      <c r="C124" s="10" t="s">
        <v>120</v>
      </c>
    </row>
    <row r="125">
      <c r="A125" s="3" t="s">
        <v>121</v>
      </c>
      <c r="B125" s="22" t="s">
        <v>122</v>
      </c>
      <c r="C125" s="22" t="s">
        <v>123</v>
      </c>
    </row>
    <row r="126">
      <c r="A126" s="3" t="s">
        <v>124</v>
      </c>
      <c r="B126" s="22">
        <v>238.0</v>
      </c>
      <c r="C126" s="22">
        <v>130.0</v>
      </c>
    </row>
    <row r="127">
      <c r="A127" s="3" t="s">
        <v>125</v>
      </c>
      <c r="B127" s="22">
        <v>788.0</v>
      </c>
      <c r="C127" s="22">
        <v>557.0</v>
      </c>
    </row>
    <row r="129">
      <c r="A129" s="3" t="s">
        <v>126</v>
      </c>
    </row>
    <row r="130">
      <c r="A130" s="3" t="s">
        <v>127</v>
      </c>
    </row>
    <row r="135">
      <c r="A135" s="8" t="s">
        <v>128</v>
      </c>
    </row>
    <row r="136">
      <c r="A136" s="23"/>
    </row>
    <row r="137">
      <c r="A137" s="8" t="s">
        <v>129</v>
      </c>
    </row>
    <row r="138">
      <c r="A138" s="23"/>
    </row>
    <row r="139">
      <c r="A139" s="8" t="s">
        <v>130</v>
      </c>
    </row>
    <row r="140">
      <c r="A140" s="23"/>
    </row>
    <row r="141">
      <c r="A141" s="8" t="s">
        <v>131</v>
      </c>
    </row>
    <row r="142">
      <c r="A142" s="23"/>
    </row>
    <row r="143">
      <c r="A143" s="8" t="s">
        <v>132</v>
      </c>
    </row>
    <row r="144">
      <c r="A144" s="23"/>
    </row>
    <row r="145">
      <c r="A145" s="8" t="s">
        <v>133</v>
      </c>
    </row>
    <row r="148">
      <c r="A148" s="3" t="s">
        <v>134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